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zultat v0.9" sheetId="1" state="visible" r:id="rId3"/>
    <sheet name="Provera predviđanja" sheetId="2" state="visible" r:id="rId4"/>
    <sheet name="Sledeći kora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<sst xmlns="http://schemas.openxmlformats.org/spreadsheetml/2006/main" count="46" uniqueCount="46">
  <si>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Spojen histogram — rezultat</t>
  </si>
  <si>
    <t xml:space="preserve">recidx v0.9, results/run_1792414113.txt, 4.581.340 parova (16 B), i9: 10 fizičkih / 20 logičkih jezgara, 9 niti, medijana od 5 ponavljanja. Plavo = izmereno; crno = formule.</t>
  </si>
  <si>
    <t xml:space="preserve">Metoda</t>
  </si>
  <si>
    <t xml:space="preserve">1 nit ms</t>
  </si>
  <si>
    <t xml:space="preserve">9 niti ms</t>
  </si>
  <si>
    <t xml:space="preserve">Ubrzanje 1 → 9</t>
  </si>
  <si>
    <t xml:space="preserve">Promena prema LENS radix (1 nit)</t>
  </si>
  <si>
    <t xml:space="preserve">Promena prema LENS radix (9 niti)</t>
  </si>
  <si>
    <t xml:space="preserve">LENS radix</t>
  </si>
  <si>
    <t xml:space="preserve">LENS radix, spojen histogram v0.9</t>
  </si>
  <si>
    <t xml:space="preserve">rayon par_sort_unstable / std sort_unstable</t>
  </si>
  <si>
    <t xml:space="preserve">Spojen histogram naspram std sort_unstable (1 nit)</t>
  </si>
  <si>
    <t xml:space="preserve">par_sort_unstable naspram spojenog histograma (9 niti)</t>
  </si>
  <si>
    <t xml:space="preserve">Red 7: u koloni „1 nit“ je std sort_unstable, u koloni „9 niti“ rayon par_sort_unstable. Raspon 9 niti: LENS radix 75,4–86,5 ms; spojen histogram 59,9–63,6 ms.</t>
  </si>
  <si>
    <t xml:space="preserve">Predviđanje zapisano pre merenja naspram rezultata</t>
  </si>
  <si>
    <t xml:space="preserve">Izvor: IDEJA_treci_blok.md</t>
  </si>
  <si>
    <t xml:space="preserve">Stavka</t>
  </si>
  <si>
    <t xml:space="preserve">Predviđeno</t>
  </si>
  <si>
    <t xml:space="preserve">Izmereno</t>
  </si>
  <si>
    <t xml:space="preserve">Pogođeno?</t>
  </si>
  <si>
    <t xml:space="preserve">Napomena</t>
  </si>
  <si>
    <t xml:space="preserve">Vreme na 9–10 niti (donja granica)</t>
  </si>
  <si>
    <t xml:space="preserve">izvan predviđenog opsega 45–55 ms</t>
  </si>
  <si>
    <t xml:space="preserve">Vreme na 9–10 niti (gornja granica)</t>
  </si>
  <si>
    <t xml:space="preserve">—</t>
  </si>
  <si>
    <t xml:space="preserve">Smer: brže kad je manje prolaza</t>
  </si>
  <si>
    <t xml:space="preserve">brže</t>
  </si>
  <si>
    <t xml:space="preserve">brže (−19% / −21%)</t>
  </si>
  <si>
    <t xml:space="preserve">DA</t>
  </si>
  <si>
    <t xml:space="preserve">Ušteda u 1 niti manja nego na više niti</t>
  </si>
  <si>
    <t xml:space="preserve">manja</t>
  </si>
  <si>
    <t xml:space="preserve">veća (−21% naspram −19%)</t>
  </si>
  <si>
    <t xml:space="preserve">NE</t>
  </si>
  <si>
    <t xml:space="preserve">Procenjen saobraćaj pre (GB)</t>
  </si>
  <si>
    <t xml:space="preserve">Procenjen saobraćaj posle (GB)</t>
  </si>
  <si>
    <t xml:space="preserve">Procenjeno smanjenje saobraćaja</t>
  </si>
  <si>
    <t xml:space="preserve">Izmereno smanjenje vremena (9 niti)</t>
  </si>
  <si>
    <t xml:space="preserve">Verovatan razlog promašaja: upis u memoriju van keša procesor plaća i čitanjem linije, pa je stvarni saobraćaj veći od procenjenog. Hipoteza o protoku memorije je delimično tačna.</t>
  </si>
  <si>
    <t xml:space="preserve">Kandidat v0.10 — manje prolaza raspoređivanja</t>
  </si>
  <si>
    <t xml:space="preserve">Hipoteza, nije izmereno.</t>
  </si>
  <si>
    <t xml:space="preserve">Veličina cifre (bita)</t>
  </si>
  <si>
    <t xml:space="preserve">Bitova ključa</t>
  </si>
  <si>
    <t xml:space="preserve">Prolaza</t>
  </si>
  <si>
    <t xml:space="preserve">Paran broj prolaza?</t>
  </si>
  <si>
    <t xml:space="preserve">Završno kopiranje</t>
  </si>
  <si>
    <t xml:space="preserve">Ključ ima 35 bitova (najveći ključ 22.055.494.656). Isto zapažanje kao u recognition_sort README-u: osnova je presudna jer određuje broj prolaza.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</si>
</sst>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\×"/>
    <numFmt numFmtId="167" formatCode="\+0%;\-0%;0%"/>
    <numFmt numFmtId="168" formatCode="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127.3</v>
      </c>
      <c r="C5" s="5" t="n">
        <v>77.4</v>
      </c>
      <c r="D5" s="6" t="n">
        <f aca="false">B5/C5</f>
        <v>1.64470284237726</v>
      </c>
      <c r="E5" s="7" t="n">
        <f aca="false">B5/$B$5-1</f>
        <v>0</v>
      </c>
      <c r="F5" s="7" t="n">
        <f aca="false">C5/$C$5-1</f>
        <v>0</v>
      </c>
    </row>
    <row r="6" customFormat="false" ht="15" hidden="false" customHeight="false" outlineLevel="0" collapsed="false">
      <c r="A6" s="8" t="s">
        <v>9</v>
      </c>
      <c r="B6" s="9" t="n">
        <v>100.4</v>
      </c>
      <c r="C6" s="9" t="n">
        <v>62.5</v>
      </c>
      <c r="D6" s="10" t="n">
        <f aca="false">B6/C6</f>
        <v>1.6064</v>
      </c>
      <c r="E6" s="11" t="n">
        <f aca="false">B6/$B$5-1</f>
        <v>-0.211311861743912</v>
      </c>
      <c r="F6" s="11" t="n">
        <f aca="false">C6/$C$5-1</f>
        <v>-0.192506459948321</v>
      </c>
    </row>
    <row r="7" customFormat="false" ht="15" hidden="false" customHeight="false" outlineLevel="0" collapsed="false">
      <c r="A7" s="4" t="s">
        <v>10</v>
      </c>
      <c r="B7" s="5" t="n">
        <v>138.9</v>
      </c>
      <c r="C7" s="5" t="n">
        <v>39.2</v>
      </c>
      <c r="D7" s="6" t="n">
        <f aca="false">B7/C7</f>
        <v>3.54336734693878</v>
      </c>
      <c r="E7" s="7" t="n">
        <f aca="false">B7/$B$5-1</f>
        <v>0.0911233307148469</v>
      </c>
      <c r="F7" s="7" t="n">
        <f aca="false">C7/$C$5-1</f>
        <v>-0.493540051679587</v>
      </c>
    </row>
    <row r="9" customFormat="false" ht="15" hidden="false" customHeight="false" outlineLevel="0" collapsed="false">
      <c r="A9" s="4" t="s">
        <v>11</v>
      </c>
      <c r="B9" s="6" t="n">
        <f aca="false">B7/B6</f>
        <v>1.38346613545817</v>
      </c>
    </row>
    <row r="10" customFormat="false" ht="26.85" hidden="false" customHeight="false" outlineLevel="0" collapsed="false">
      <c r="A10" s="4" t="s">
        <v>12</v>
      </c>
      <c r="B10" s="6" t="n">
        <f aca="false">C6/C7</f>
        <v>1.59438775510204</v>
      </c>
    </row>
    <row r="12" customFormat="false" ht="15" hidden="false" customHeight="false" outlineLevel="0" collapsed="false">
      <c r="A12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</row>
    <row r="5" customFormat="false" ht="15" hidden="false" customHeight="false" outlineLevel="0" collapsed="false">
      <c r="A5" s="4" t="s">
        <v>21</v>
      </c>
      <c r="B5" s="12" t="n">
        <v>45</v>
      </c>
      <c r="C5" s="5" t="n">
        <v>62.5</v>
      </c>
      <c r="D5" s="4" t="str">
        <f aca="false">IF(AND(C5&gt;=B5,C5&lt;=B6),"DA","NE")</f>
        <v>NE</v>
      </c>
      <c r="E5" s="4" t="s">
        <v>22</v>
      </c>
    </row>
    <row r="6" customFormat="false" ht="15" hidden="false" customHeight="false" outlineLevel="0" collapsed="false">
      <c r="A6" s="4" t="s">
        <v>23</v>
      </c>
      <c r="B6" s="12" t="n">
        <v>55</v>
      </c>
      <c r="C6" s="4" t="s">
        <v>24</v>
      </c>
    </row>
    <row r="7" customFormat="false" ht="1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28</v>
      </c>
    </row>
    <row r="8" customFormat="false" ht="26.8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</row>
    <row r="10" customFormat="false" ht="15" hidden="false" customHeight="false" outlineLevel="0" collapsed="false">
      <c r="A10" s="4" t="s">
        <v>33</v>
      </c>
      <c r="B10" s="5" t="n">
        <v>1.4</v>
      </c>
    </row>
    <row r="11" customFormat="false" ht="15" hidden="false" customHeight="false" outlineLevel="0" collapsed="false">
      <c r="A11" s="4" t="s">
        <v>34</v>
      </c>
      <c r="B11" s="5" t="n">
        <v>0.9</v>
      </c>
    </row>
    <row r="12" customFormat="false" ht="15" hidden="false" customHeight="false" outlineLevel="0" collapsed="false">
      <c r="A12" s="4" t="s">
        <v>35</v>
      </c>
      <c r="B12" s="13" t="n">
        <f aca="false">1-B11/B10</f>
        <v>0.357142857142857</v>
      </c>
    </row>
    <row r="13" customFormat="false" ht="15" hidden="false" customHeight="false" outlineLevel="0" collapsed="false">
      <c r="A13" s="4" t="s">
        <v>36</v>
      </c>
      <c r="B13" s="13" t="n">
        <f aca="false">'Rezultat v0.9'!F6*-1</f>
        <v>0.192506459948321</v>
      </c>
    </row>
    <row r="15" customFormat="false" ht="15" hidden="false" customHeight="false" outlineLevel="0" collapsed="false">
      <c r="A15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26.85" hidden="false" customHeight="false" outlineLevel="0" collapsed="false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</row>
    <row r="5" customFormat="false" ht="15" hidden="false" customHeight="false" outlineLevel="0" collapsed="false">
      <c r="A5" s="14" t="n">
        <v>8</v>
      </c>
      <c r="B5" s="14" t="n">
        <v>35</v>
      </c>
      <c r="C5" s="4" t="n">
        <f aca="false">ROUNDUP(B5/A5,0)</f>
        <v>5</v>
      </c>
      <c r="D5" s="4" t="str">
        <f aca="false">IF(MOD(C5,2)=0,"da","ne")</f>
        <v>ne</v>
      </c>
      <c r="E5" s="4" t="str">
        <f aca="false">IF(MOD(C5,2)=0,"ne","da")</f>
        <v>da</v>
      </c>
    </row>
    <row r="6" customFormat="false" ht="15" hidden="false" customHeight="false" outlineLevel="0" collapsed="false">
      <c r="A6" s="14" t="n">
        <v>11</v>
      </c>
      <c r="B6" s="14" t="n">
        <v>35</v>
      </c>
      <c r="C6" s="4" t="n">
        <f aca="false">ROUNDUP(B6/A6,0)</f>
        <v>4</v>
      </c>
      <c r="D6" s="4" t="str">
        <f aca="false">IF(MOD(C6,2)=0,"da","ne")</f>
        <v>da</v>
      </c>
      <c r="E6" s="4" t="str">
        <f aca="false">IF(MOD(C6,2)=0,"ne","da")</f>
        <v>ne</v>
      </c>
    </row>
    <row r="7" customFormat="false" ht="15" hidden="false" customHeight="false" outlineLevel="0" collapsed="false">
      <c r="A7" s="14" t="n">
        <v>12</v>
      </c>
      <c r="B7" s="14" t="n">
        <v>35</v>
      </c>
      <c r="C7" s="4" t="n">
        <f aca="false">ROUNDUP(B7/A7,0)</f>
        <v>3</v>
      </c>
      <c r="D7" s="4" t="str">
        <f aca="false">IF(MOD(C7,2)=0,"da","ne")</f>
        <v>ne</v>
      </c>
      <c r="E7" s="4" t="str">
        <f aca="false">IF(MOD(C7,2)=0,"ne","da")</f>
        <v>da</v>
      </c>
    </row>
    <row r="9" customFormat="false" ht="15" hidden="false" customHeight="false" outlineLevel="0" collapsed="false">
      <c r="A9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2026-10-19T12:54:01Z</dcterms:created>
  <dc:creator>openpyxl</dc:creator>
  <dc:description/>
  <dc:language>en-US</dc:language>
  <cp:lastModifiedBy/>
  <dcterms:modified xsi:type="dcterms:W3CDTF">2026-10-19T12:54:01Z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