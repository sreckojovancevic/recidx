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zgradnja" sheetId="1" state="visible" r:id="rId3"/>
    <sheet name="Pretraga" sheetId="2" state="visible" r:id="rId4"/>
    <sheet name="Bucketi" sheetId="3" state="visible" r:id="rId5"/>
    <sheet name="Opsezi" sheetId="4" state="visible" r:id="rId6"/>
    <sheet name="Zaključci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<sst xmlns="http://schemas.openxmlformats.org/spreadsheetml/2006/main" count="121" uniqueCount="72">
  <si>
    <t xml:space="preserve">Izgradnja indeksa</t>
  </si>
  <si>
    <t xml:space="preserve">recidx v0.3, D:\sqliteRecog, backup_index.size_bytes, 4.581.340 redova, 200.000 upita, 1 nit, medijana od 5 ponavljanja. Pokretanje A = --cache --find; B = --cache --find --disk. Plavo = izmereno; crno = formule.</t>
  </si>
  <si>
    <t xml:space="preserve">Struktura</t>
  </si>
  <si>
    <t xml:space="preserve">Izgradnja ms (A)</t>
  </si>
  <si>
    <t xml:space="preserve">Izgradnja ms (B)</t>
  </si>
  <si>
    <t xml:space="preserve">Prosek ms</t>
  </si>
  <si>
    <t xml:space="preserve">Odnos prema Log(12)</t>
  </si>
  <si>
    <t xml:space="preserve">Memorija MiB</t>
  </si>
  <si>
    <t xml:space="preserve">Recognition Index, Log(10)</t>
  </si>
  <si>
    <t xml:space="preserve">Recognition Index, Log(12)</t>
  </si>
  <si>
    <t xml:space="preserve">Recognition Index, Linear(16 bita)</t>
  </si>
  <si>
    <t xml:space="preserve">Sortiran niz + binarna pretraga</t>
  </si>
  <si>
    <t xml:space="preserve">Heš mapa (FxHash)</t>
  </si>
  <si>
    <t xml:space="preserve">SQLite B-tree, :memory:</t>
  </si>
  <si>
    <t xml:space="preserve">SQLite B-tree, disk</t>
  </si>
  <si>
    <t xml:space="preserve">—</t>
  </si>
  <si>
    <t xml:space="preserve">na disku</t>
  </si>
  <si>
    <t xml:space="preserve">Odnos &gt; 1 = sporije od Recognition Index Log(12). Disk je meren samo u pokretanju B (1 ponavljanje). Memorija sortiranih struktura uključuje niz parova od 16 B po redu; SQLite :memory: = stranice indeksa.</t>
  </si>
  <si>
    <t xml:space="preserve">Pretraga WHERE size_bytes = ?</t>
  </si>
  <si>
    <t xml:space="preserve">ns po upitu (A)</t>
  </si>
  <si>
    <t xml:space="preserve">ns po upitu (B)</t>
  </si>
  <si>
    <t xml:space="preserve">Prosek ns</t>
  </si>
  <si>
    <t xml:space="preserve">Vraćeno redova</t>
  </si>
  <si>
    <t xml:space="preserve">Isti rezultat</t>
  </si>
  <si>
    <t xml:space="preserve">DA</t>
  </si>
  <si>
    <t xml:space="preserve">SQLite B-tree, :memory: (kroz SQL)</t>
  </si>
  <si>
    <t xml:space="preserve">SQLite B-tree, disk (kroz SQL)</t>
  </si>
  <si>
    <t xml:space="preserve">Prosečno redova po upitu</t>
  </si>
  <si>
    <t xml:space="preserve">Odnos &lt; 1 = brže od Log(12). SQLite vremena uključuju SQL mašineriju (bind, VDBE) i, za disk, čitanje stranica — nije čisto poređenje struktura. Prolazak kroz ~54 reda po upitu je isti trošak za sve, pa su čiste razlike u pronalaženju verovatno veće.</t>
  </si>
  <si>
    <t xml:space="preserve">Raspodela po bucket-ima (Recognition Index)</t>
  </si>
  <si>
    <t xml:space="preserve">Funkcija bucket-a</t>
  </si>
  <si>
    <t xml:space="preserve">Bucket-a</t>
  </si>
  <si>
    <t xml:space="preserve">Nepraznih</t>
  </si>
  <si>
    <t xml:space="preserve">Najveći bucket (redova)</t>
  </si>
  <si>
    <t xml:space="preserve">Prosek nepraznih</t>
  </si>
  <si>
    <t xml:space="preserve">Najveći kao % svih redova</t>
  </si>
  <si>
    <t xml:space="preserve">Tabela MiB</t>
  </si>
  <si>
    <t xml:space="preserve">Log(10)</t>
  </si>
  <si>
    <t xml:space="preserve">Log(12)</t>
  </si>
  <si>
    <t xml:space="preserve">Linear(16 bita)</t>
  </si>
  <si>
    <t xml:space="preserve">Ukupno redova</t>
  </si>
  <si>
    <t xml:space="preserve">Linear(16) stavlja 79% redova u jedan bucket zbog neravnomerne raspodele veličina fajlova; logaritamska skala to rešava.</t>
  </si>
  <si>
    <t xml:space="preserve">Opsezi WHERE size_bytes BETWEEN a AND b</t>
  </si>
  <si>
    <t xml:space="preserve">recidx v0.4, 4.581.340 redova, 2.000 opsega po klasi, b = a + a·w, 1 nit, medijana od 5 ponavljanja. Pokretanje B (--range --disk). Plavo = izmereno; crno = formule. Vreme = ns po upitu.</t>
  </si>
  <si>
    <t xml:space="preserve">Prosečno pogodaka po opsegu</t>
  </si>
  <si>
    <t xml:space="preserve">Širina opsega</t>
  </si>
  <si>
    <t xml:space="preserve">0,1%</t>
  </si>
  <si>
    <t xml:space="preserve">1%</t>
  </si>
  <si>
    <t xml:space="preserve">10%</t>
  </si>
  <si>
    <t xml:space="preserve">COUNT (samo broj pogodaka)</t>
  </si>
  <si>
    <t xml:space="preserve">0,1% ns</t>
  </si>
  <si>
    <t xml:space="preserve">1% ns</t>
  </si>
  <si>
    <t xml:space="preserve">10% ns</t>
  </si>
  <si>
    <t xml:space="preserve">0,1% odnos</t>
  </si>
  <si>
    <t xml:space="preserve">1% odnos</t>
  </si>
  <si>
    <t xml:space="preserve">10% odnos</t>
  </si>
  <si>
    <t xml:space="preserve">FETCH (svi rowid-ovi iz opsega)</t>
  </si>
  <si>
    <t xml:space="preserve">ns po vraćenom redu (FETCH, 10%)</t>
  </si>
  <si>
    <t xml:space="preserve">Odnos &gt; 1 = sporije od Log(12). COUNT kod sortiranih struktura = dve pretrage granica (ne zavisi od broja pogodaka); SQLite broji prolaskom kroz opseg (linearno). Heš mapa ne podržava opsege. Log(10) na 0,1% varira između pokretanja (229 pa 93 ns).</t>
  </si>
  <si>
    <t xml:space="preserve">Zaključci i ograničenja</t>
  </si>
  <si>
    <t xml:space="preserve">Tumačenje rezultata iz listova Izgradnja, Pretraga i Bucketi.</t>
  </si>
  <si>
    <t xml:space="preserve">#</t>
  </si>
  <si>
    <t xml:space="preserve">Nalaz</t>
  </si>
  <si>
    <t xml:space="preserve">Princip radi u izgradnji: tabela bucket-a dodaje 8–10 ms na sort; izgradnja 3× brža od heš mape uz 44% manje memorije.</t>
  </si>
  <si>
    <t xml:space="preserve">Prepoznavanje bucket-a ubrzava pretragu 1,3× u odnosu na binarnu pretragu nad istim podacima.</t>
  </si>
  <si>
    <t xml:space="preserve">Funkcija bucket-a je presudna: Linear(16) daje 79% redova u jednom bucket-u i ne donosi ništa; Log skala rešava problem.</t>
  </si>
  <si>
    <t xml:space="preserve">Heš mapa je najbrža za jednakost, ali samo ~10% brža; gradi se 3× sporije, troši više memorije i ne podržava opsege.</t>
  </si>
  <si>
    <t xml:space="preserve">SQLite brojevi uključuju SQL mašineriju i disk; kroz virtualnu tabelu Rust strukture bi dobile deo tog troška (nije izmereno).</t>
  </si>
  <si>
    <t xml:space="preserve">Ograničenje: ~54 reda po upitu — prolazak kroz rezultate je zajednički trošak; čisto pronalaženje nije posebno mereno.</t>
  </si>
  <si>
    <t xml:space="preserve">Ograničenje: ubacivanje i brisanje nisu testirani — glavna slabost sortiranog niza.</t>
  </si>
  <si>
    <t xml:space="preserve">Opsezi (v0.4): COUNT je kod Recognition Indexa ~140–230 ns bez obzira na broj pogodaka — 1,5–3× brže od binarne pretrage, a 80–5000× brže od SQLite-a koji broji red po red. Prednost nad SQLite-om dolazi od sortiranog niza (razlika pozicija), a prednost nad binarnom pretragom od prepoznavanja bucket-a.</t>
  </si>
  <si>
    <t xml:space="preserve">FETCH: sve sortirane strukture su iste (~7 ns po redu) — vreme odlazi na vraćanje redova; SQLite ~58–67 ns po redu kroz SQL.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</si>
</sst>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.00\×"/>
    <numFmt numFmtId="167" formatCode="#,##0"/>
    <numFmt numFmtId="168" formatCode="0.00%"/>
    <numFmt numFmtId="169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16"/>
    <col collapsed="false" customWidth="true" hidden="false" outlineLevel="0" max="4" min="4" style="1" width="14"/>
    <col collapsed="false" customWidth="true" hidden="false" outlineLevel="0" max="5" min="5" style="1" width="18"/>
    <col collapsed="false" customWidth="true" hidden="false" outlineLevel="0" max="6" min="6" style="1" width="14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26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true" outlineLevel="0" collapsed="false">
      <c r="A5" s="5" t="s">
        <v>8</v>
      </c>
      <c r="B5" s="6" t="n">
        <v>135.1</v>
      </c>
      <c r="C5" s="6" t="n">
        <v>141.4</v>
      </c>
      <c r="D5" s="7" t="n">
        <f aca="false">AVERAGE(B5:C5)</f>
        <v>138.25</v>
      </c>
      <c r="E5" s="8" t="n">
        <f aca="false">D5/$D$6</f>
        <v>1.00875592849325</v>
      </c>
      <c r="F5" s="6" t="n">
        <v>70</v>
      </c>
    </row>
    <row r="6" customFormat="false" ht="15" hidden="false" customHeight="true" outlineLevel="0" collapsed="false">
      <c r="A6" s="9" t="s">
        <v>9</v>
      </c>
      <c r="B6" s="10" t="n">
        <v>133.5</v>
      </c>
      <c r="C6" s="10" t="n">
        <v>140.6</v>
      </c>
      <c r="D6" s="11" t="n">
        <f aca="false">AVERAGE(B6:C6)</f>
        <v>137.05</v>
      </c>
      <c r="E6" s="12" t="n">
        <f aca="false">D6/$D$6</f>
        <v>1</v>
      </c>
      <c r="F6" s="10" t="n">
        <v>70.3</v>
      </c>
    </row>
    <row r="7" customFormat="false" ht="15" hidden="false" customHeight="true" outlineLevel="0" collapsed="false">
      <c r="A7" s="5" t="s">
        <v>10</v>
      </c>
      <c r="B7" s="6" t="n">
        <v>131.7</v>
      </c>
      <c r="C7" s="6" t="n">
        <v>138.6</v>
      </c>
      <c r="D7" s="7" t="n">
        <f aca="false">AVERAGE(B7:C7)</f>
        <v>135.15</v>
      </c>
      <c r="E7" s="8" t="n">
        <f aca="false">D7/$D$6</f>
        <v>0.986136446552353</v>
      </c>
      <c r="F7" s="6" t="n">
        <v>70.1</v>
      </c>
    </row>
    <row r="8" customFormat="false" ht="15" hidden="false" customHeight="true" outlineLevel="0" collapsed="false">
      <c r="A8" s="5" t="s">
        <v>11</v>
      </c>
      <c r="B8" s="6" t="n">
        <v>125.2</v>
      </c>
      <c r="C8" s="6" t="n">
        <v>131.9</v>
      </c>
      <c r="D8" s="7" t="n">
        <f aca="false">AVERAGE(B8:C8)</f>
        <v>128.55</v>
      </c>
      <c r="E8" s="8" t="n">
        <f aca="false">D8/$D$6</f>
        <v>0.937978839839475</v>
      </c>
      <c r="F8" s="6" t="n">
        <v>69.9</v>
      </c>
    </row>
    <row r="9" customFormat="false" ht="15" hidden="false" customHeight="true" outlineLevel="0" collapsed="false">
      <c r="A9" s="5" t="s">
        <v>12</v>
      </c>
      <c r="B9" s="6" t="n">
        <v>398.6</v>
      </c>
      <c r="C9" s="6" t="n">
        <v>384.5</v>
      </c>
      <c r="D9" s="7" t="n">
        <f aca="false">AVERAGE(B9:C9)</f>
        <v>391.55</v>
      </c>
      <c r="E9" s="8" t="n">
        <f aca="false">D9/$D$6</f>
        <v>2.85698650127691</v>
      </c>
      <c r="F9" s="6" t="n">
        <v>124.7</v>
      </c>
    </row>
    <row r="10" customFormat="false" ht="15" hidden="false" customHeight="true" outlineLevel="0" collapsed="false">
      <c r="A10" s="5" t="s">
        <v>13</v>
      </c>
      <c r="B10" s="6" t="n">
        <v>1767.9</v>
      </c>
      <c r="C10" s="6" t="n">
        <v>1780.9</v>
      </c>
      <c r="D10" s="7" t="n">
        <f aca="false">AVERAGE(B10:C10)</f>
        <v>1774.4</v>
      </c>
      <c r="E10" s="8" t="n">
        <f aca="false">D10/$D$6</f>
        <v>12.9470995986866</v>
      </c>
      <c r="F10" s="6" t="n">
        <v>51.2</v>
      </c>
    </row>
    <row r="11" customFormat="false" ht="15" hidden="false" customHeight="true" outlineLevel="0" collapsed="false">
      <c r="A11" s="5" t="s">
        <v>14</v>
      </c>
      <c r="B11" s="7" t="s">
        <v>15</v>
      </c>
      <c r="C11" s="6" t="n">
        <v>4811.2</v>
      </c>
      <c r="D11" s="7" t="n">
        <f aca="false">AVERAGE(B11:C11)</f>
        <v>4811.2</v>
      </c>
      <c r="E11" s="8" t="n">
        <f aca="false">D11/$D$6</f>
        <v>35.1054359722729</v>
      </c>
      <c r="F11" s="7" t="s">
        <v>16</v>
      </c>
    </row>
    <row r="13" customFormat="false" ht="15" hidden="false" customHeight="true" outlineLevel="0" collapsed="false">
      <c r="A13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16"/>
    <col collapsed="false" customWidth="true" hidden="false" outlineLevel="0" max="4" min="4" style="1" width="14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14"/>
  </cols>
  <sheetData>
    <row r="1" customFormat="false" ht="15.75" hidden="false" customHeight="true" outlineLevel="0" collapsed="false">
      <c r="A1" s="2" t="s">
        <v>18</v>
      </c>
    </row>
    <row r="2" customFormat="false" ht="15" hidden="false" customHeight="true" outlineLevel="0" collapsed="false">
      <c r="A2" s="3" t="s">
        <v>1</v>
      </c>
    </row>
    <row r="4" customFormat="false" ht="26.25" hidden="false" customHeight="true" outlineLevel="0" collapsed="false">
      <c r="A4" s="4" t="s">
        <v>2</v>
      </c>
      <c r="B4" s="4" t="s">
        <v>19</v>
      </c>
      <c r="C4" s="4" t="s">
        <v>20</v>
      </c>
      <c r="D4" s="4" t="s">
        <v>21</v>
      </c>
      <c r="E4" s="4" t="s">
        <v>6</v>
      </c>
      <c r="F4" s="4" t="s">
        <v>22</v>
      </c>
      <c r="G4" s="4" t="s">
        <v>23</v>
      </c>
    </row>
    <row r="5" customFormat="false" ht="15" hidden="false" customHeight="true" outlineLevel="0" collapsed="false">
      <c r="A5" s="5" t="s">
        <v>12</v>
      </c>
      <c r="B5" s="13" t="n">
        <v>478</v>
      </c>
      <c r="C5" s="13" t="n">
        <v>478</v>
      </c>
      <c r="D5" s="14" t="n">
        <f aca="false">AVERAGE(B5:C5)</f>
        <v>478</v>
      </c>
      <c r="E5" s="8" t="n">
        <f aca="false">D5/$D$6</f>
        <v>0.911344137273594</v>
      </c>
      <c r="F5" s="13" t="n">
        <v>10774851</v>
      </c>
      <c r="G5" s="5" t="s">
        <v>24</v>
      </c>
    </row>
    <row r="6" customFormat="false" ht="15" hidden="false" customHeight="true" outlineLevel="0" collapsed="false">
      <c r="A6" s="9" t="s">
        <v>9</v>
      </c>
      <c r="B6" s="15" t="n">
        <v>529</v>
      </c>
      <c r="C6" s="15" t="n">
        <v>520</v>
      </c>
      <c r="D6" s="16" t="n">
        <f aca="false">AVERAGE(B6:C6)</f>
        <v>524.5</v>
      </c>
      <c r="E6" s="12" t="n">
        <f aca="false">D6/$D$6</f>
        <v>1</v>
      </c>
      <c r="F6" s="15" t="n">
        <v>10774851</v>
      </c>
      <c r="G6" s="9" t="s">
        <v>24</v>
      </c>
    </row>
    <row r="7" customFormat="false" ht="15" hidden="false" customHeight="true" outlineLevel="0" collapsed="false">
      <c r="A7" s="5" t="s">
        <v>8</v>
      </c>
      <c r="B7" s="13" t="n">
        <v>560</v>
      </c>
      <c r="C7" s="13" t="n">
        <v>617</v>
      </c>
      <c r="D7" s="14" t="n">
        <f aca="false">AVERAGE(B7:C7)</f>
        <v>588.5</v>
      </c>
      <c r="E7" s="8" t="n">
        <f aca="false">D7/$D$6</f>
        <v>1.12202097235462</v>
      </c>
      <c r="F7" s="13" t="n">
        <v>10774851</v>
      </c>
      <c r="G7" s="5" t="s">
        <v>24</v>
      </c>
    </row>
    <row r="8" customFormat="false" ht="15" hidden="false" customHeight="true" outlineLevel="0" collapsed="false">
      <c r="A8" s="5" t="s">
        <v>10</v>
      </c>
      <c r="B8" s="13" t="n">
        <v>678</v>
      </c>
      <c r="C8" s="13" t="n">
        <v>677</v>
      </c>
      <c r="D8" s="14" t="n">
        <f aca="false">AVERAGE(B8:C8)</f>
        <v>677.5</v>
      </c>
      <c r="E8" s="8" t="n">
        <f aca="false">D8/$D$6</f>
        <v>1.29170638703527</v>
      </c>
      <c r="F8" s="13" t="n">
        <v>10774851</v>
      </c>
      <c r="G8" s="5" t="s">
        <v>24</v>
      </c>
    </row>
    <row r="9" customFormat="false" ht="15" hidden="false" customHeight="true" outlineLevel="0" collapsed="false">
      <c r="A9" s="5" t="s">
        <v>11</v>
      </c>
      <c r="B9" s="13" t="n">
        <v>683</v>
      </c>
      <c r="C9" s="13" t="n">
        <v>673</v>
      </c>
      <c r="D9" s="14" t="n">
        <f aca="false">AVERAGE(B9:C9)</f>
        <v>678</v>
      </c>
      <c r="E9" s="8" t="n">
        <f aca="false">D9/$D$6</f>
        <v>1.29265967588179</v>
      </c>
      <c r="F9" s="13" t="n">
        <v>10774851</v>
      </c>
      <c r="G9" s="5" t="s">
        <v>24</v>
      </c>
    </row>
    <row r="10" customFormat="false" ht="15" hidden="false" customHeight="true" outlineLevel="0" collapsed="false">
      <c r="A10" s="5" t="s">
        <v>25</v>
      </c>
      <c r="B10" s="13" t="n">
        <v>3925</v>
      </c>
      <c r="C10" s="13" t="n">
        <v>3871</v>
      </c>
      <c r="D10" s="14" t="n">
        <f aca="false">AVERAGE(B10:C10)</f>
        <v>3898</v>
      </c>
      <c r="E10" s="8" t="n">
        <f aca="false">D10/$D$6</f>
        <v>7.43183984747379</v>
      </c>
      <c r="F10" s="13" t="n">
        <v>10774851</v>
      </c>
      <c r="G10" s="5" t="s">
        <v>24</v>
      </c>
    </row>
    <row r="11" customFormat="false" ht="15" hidden="false" customHeight="true" outlineLevel="0" collapsed="false">
      <c r="A11" s="5" t="s">
        <v>26</v>
      </c>
      <c r="B11" s="14" t="s">
        <v>15</v>
      </c>
      <c r="C11" s="13" t="n">
        <v>9816</v>
      </c>
      <c r="D11" s="14" t="n">
        <f aca="false">AVERAGE(B11:C11)</f>
        <v>9816</v>
      </c>
      <c r="E11" s="8" t="n">
        <f aca="false">D11/$D$6</f>
        <v>18.7149666348904</v>
      </c>
      <c r="F11" s="13" t="n">
        <v>10774851</v>
      </c>
      <c r="G11" s="5" t="s">
        <v>24</v>
      </c>
    </row>
    <row r="13" customFormat="false" ht="15" hidden="false" customHeight="true" outlineLevel="0" collapsed="false">
      <c r="A13" s="5" t="s">
        <v>27</v>
      </c>
      <c r="D13" s="7" t="n">
        <f aca="false">F6/200000</f>
        <v>53.874255</v>
      </c>
    </row>
    <row r="14" customFormat="false" ht="15" hidden="false" customHeight="true" outlineLevel="0" collapsed="false">
      <c r="A14" s="3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2"/>
    <col collapsed="false" customWidth="true" hidden="false" outlineLevel="0" max="4" min="4" style="1" width="20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12"/>
  </cols>
  <sheetData>
    <row r="1" customFormat="false" ht="15.75" hidden="false" customHeight="true" outlineLevel="0" collapsed="false">
      <c r="A1" s="2" t="s">
        <v>29</v>
      </c>
    </row>
    <row r="2" customFormat="false" ht="15" hidden="false" customHeight="true" outlineLevel="0" collapsed="false">
      <c r="A2" s="3" t="s">
        <v>1</v>
      </c>
    </row>
    <row r="4" customFormat="false" ht="26.25" hidden="false" customHeight="true" outlineLevel="0" collapsed="false">
      <c r="A4" s="4" t="s">
        <v>30</v>
      </c>
      <c r="B4" s="4" t="s">
        <v>31</v>
      </c>
      <c r="C4" s="4" t="s">
        <v>32</v>
      </c>
      <c r="D4" s="4" t="s">
        <v>33</v>
      </c>
      <c r="E4" s="4" t="s">
        <v>34</v>
      </c>
      <c r="F4" s="4" t="s">
        <v>35</v>
      </c>
      <c r="G4" s="4" t="s">
        <v>36</v>
      </c>
    </row>
    <row r="5" customFormat="false" ht="15" hidden="false" customHeight="true" outlineLevel="0" collapsed="false">
      <c r="A5" s="5" t="s">
        <v>37</v>
      </c>
      <c r="B5" s="13" t="n">
        <v>25891</v>
      </c>
      <c r="C5" s="13" t="n">
        <v>20277</v>
      </c>
      <c r="D5" s="13" t="n">
        <v>4743</v>
      </c>
      <c r="E5" s="6" t="n">
        <v>225.9</v>
      </c>
      <c r="F5" s="17" t="n">
        <f aca="false">D5/$B$10</f>
        <v>0.00103528661919875</v>
      </c>
      <c r="G5" s="18" t="n">
        <v>0.1</v>
      </c>
    </row>
    <row r="6" customFormat="false" ht="15" hidden="false" customHeight="true" outlineLevel="0" collapsed="false">
      <c r="A6" s="5" t="s">
        <v>38</v>
      </c>
      <c r="B6" s="13" t="n">
        <v>95371</v>
      </c>
      <c r="C6" s="13" t="n">
        <v>64269</v>
      </c>
      <c r="D6" s="13" t="n">
        <v>4417</v>
      </c>
      <c r="E6" s="6" t="n">
        <v>71.3</v>
      </c>
      <c r="F6" s="17" t="n">
        <f aca="false">D6/$B$10</f>
        <v>0.00096412839911467</v>
      </c>
      <c r="G6" s="18" t="n">
        <v>0.36</v>
      </c>
    </row>
    <row r="7" customFormat="false" ht="15" hidden="false" customHeight="true" outlineLevel="0" collapsed="false">
      <c r="A7" s="5" t="s">
        <v>39</v>
      </c>
      <c r="B7" s="13" t="n">
        <v>42068</v>
      </c>
      <c r="C7" s="13" t="n">
        <v>1692</v>
      </c>
      <c r="D7" s="13" t="n">
        <v>3638389</v>
      </c>
      <c r="E7" s="6" t="n">
        <v>2707.6</v>
      </c>
      <c r="F7" s="17" t="n">
        <f aca="false">D7/$B$10</f>
        <v>0.794175721513793</v>
      </c>
      <c r="G7" s="18" t="n">
        <v>0.16</v>
      </c>
    </row>
    <row r="10" customFormat="false" ht="15" hidden="false" customHeight="true" outlineLevel="0" collapsed="false">
      <c r="A10" s="5" t="s">
        <v>40</v>
      </c>
      <c r="B10" s="13" t="n">
        <v>4581340</v>
      </c>
    </row>
    <row r="12" customFormat="false" ht="15" hidden="false" customHeight="true" outlineLevel="0" collapsed="false">
      <c r="A12" s="3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8" min="2" style="1" width="12"/>
  </cols>
  <sheetData>
    <row r="1" customFormat="false" ht="15.75" hidden="false" customHeight="true" outlineLevel="0" collapsed="false">
      <c r="A1" s="2" t="s">
        <v>42</v>
      </c>
    </row>
    <row r="2" customFormat="false" ht="15" hidden="false" customHeight="true" outlineLevel="0" collapsed="false">
      <c r="A2" s="3" t="s">
        <v>43</v>
      </c>
    </row>
    <row r="4" customFormat="false" ht="15" hidden="false" customHeight="true" outlineLevel="0" collapsed="false">
      <c r="A4" s="19" t="s">
        <v>44</v>
      </c>
      <c r="B4" s="20" t="n">
        <v>454</v>
      </c>
      <c r="C4" s="20" t="n">
        <v>4001</v>
      </c>
      <c r="D4" s="20" t="n">
        <v>37405</v>
      </c>
    </row>
    <row r="5" customFormat="false" ht="15" hidden="false" customHeight="true" outlineLevel="0" collapsed="false">
      <c r="A5" s="21" t="s">
        <v>45</v>
      </c>
      <c r="B5" s="21" t="s">
        <v>46</v>
      </c>
      <c r="C5" s="21" t="s">
        <v>47</v>
      </c>
      <c r="D5" s="21" t="s">
        <v>48</v>
      </c>
    </row>
    <row r="7" customFormat="false" ht="15" hidden="false" customHeight="true" outlineLevel="0" collapsed="false">
      <c r="A7" s="22" t="s">
        <v>49</v>
      </c>
    </row>
    <row r="8" customFormat="false" ht="26.25" hidden="false" customHeight="true" outlineLevel="0" collapsed="false">
      <c r="A8" s="21" t="s">
        <v>2</v>
      </c>
      <c r="B8" s="21" t="s">
        <v>50</v>
      </c>
      <c r="C8" s="21" t="s">
        <v>51</v>
      </c>
      <c r="D8" s="21" t="s">
        <v>52</v>
      </c>
      <c r="E8" s="21" t="s">
        <v>53</v>
      </c>
      <c r="F8" s="21" t="s">
        <v>54</v>
      </c>
      <c r="G8" s="21" t="s">
        <v>55</v>
      </c>
      <c r="H8" s="21" t="s">
        <v>23</v>
      </c>
    </row>
    <row r="9" customFormat="false" ht="15" hidden="false" customHeight="true" outlineLevel="0" collapsed="false">
      <c r="A9" s="23" t="s">
        <v>9</v>
      </c>
      <c r="B9" s="24" t="n">
        <v>141</v>
      </c>
      <c r="C9" s="24" t="n">
        <v>182</v>
      </c>
      <c r="D9" s="24" t="n">
        <v>224</v>
      </c>
      <c r="E9" s="25" t="n">
        <f aca="false">B9/B$9</f>
        <v>1</v>
      </c>
      <c r="F9" s="25" t="n">
        <f aca="false">C9/C$9</f>
        <v>1</v>
      </c>
      <c r="G9" s="25" t="n">
        <f aca="false">D9/D$9</f>
        <v>1</v>
      </c>
      <c r="H9" s="23" t="s">
        <v>24</v>
      </c>
    </row>
    <row r="10" customFormat="false" ht="15" hidden="false" customHeight="true" outlineLevel="0" collapsed="false">
      <c r="A10" s="19" t="s">
        <v>8</v>
      </c>
      <c r="B10" s="20" t="n">
        <v>93</v>
      </c>
      <c r="C10" s="20" t="n">
        <v>227</v>
      </c>
      <c r="D10" s="20" t="n">
        <v>290</v>
      </c>
      <c r="E10" s="26" t="n">
        <f aca="false">B10/B$9</f>
        <v>0.659574468085106</v>
      </c>
      <c r="F10" s="26" t="n">
        <f aca="false">C10/C$9</f>
        <v>1.24725274725275</v>
      </c>
      <c r="G10" s="26" t="n">
        <f aca="false">D10/D$9</f>
        <v>1.29464285714286</v>
      </c>
      <c r="H10" s="19" t="s">
        <v>24</v>
      </c>
    </row>
    <row r="11" customFormat="false" ht="15" hidden="false" customHeight="true" outlineLevel="0" collapsed="false">
      <c r="A11" s="19" t="s">
        <v>11</v>
      </c>
      <c r="B11" s="20" t="n">
        <v>236</v>
      </c>
      <c r="C11" s="20" t="n">
        <v>524</v>
      </c>
      <c r="D11" s="20" t="n">
        <v>688</v>
      </c>
      <c r="E11" s="26" t="n">
        <f aca="false">B11/B$9</f>
        <v>1.67375886524823</v>
      </c>
      <c r="F11" s="26" t="n">
        <f aca="false">C11/C$9</f>
        <v>2.87912087912088</v>
      </c>
      <c r="G11" s="26" t="n">
        <f aca="false">D11/D$9</f>
        <v>3.07142857142857</v>
      </c>
      <c r="H11" s="19" t="s">
        <v>24</v>
      </c>
    </row>
    <row r="12" customFormat="false" ht="15" hidden="false" customHeight="true" outlineLevel="0" collapsed="false">
      <c r="A12" s="19" t="s">
        <v>25</v>
      </c>
      <c r="B12" s="20" t="n">
        <v>11894</v>
      </c>
      <c r="C12" s="20" t="n">
        <v>100862</v>
      </c>
      <c r="D12" s="20" t="n">
        <v>934677</v>
      </c>
      <c r="E12" s="26" t="n">
        <f aca="false">B12/B$9</f>
        <v>84.354609929078</v>
      </c>
      <c r="F12" s="26" t="n">
        <f aca="false">C12/C$9</f>
        <v>554.186813186813</v>
      </c>
      <c r="G12" s="26" t="n">
        <f aca="false">D12/D$9</f>
        <v>4172.66517857143</v>
      </c>
      <c r="H12" s="19" t="s">
        <v>24</v>
      </c>
    </row>
    <row r="13" customFormat="false" ht="15" hidden="false" customHeight="true" outlineLevel="0" collapsed="false">
      <c r="A13" s="19" t="s">
        <v>26</v>
      </c>
      <c r="B13" s="20" t="n">
        <v>21236</v>
      </c>
      <c r="C13" s="20" t="n">
        <v>131481</v>
      </c>
      <c r="D13" s="20" t="n">
        <v>1155366</v>
      </c>
      <c r="E13" s="26" t="n">
        <f aca="false">B13/B$9</f>
        <v>150.609929078014</v>
      </c>
      <c r="F13" s="26" t="n">
        <f aca="false">C13/C$9</f>
        <v>722.423076923077</v>
      </c>
      <c r="G13" s="26" t="n">
        <f aca="false">D13/D$9</f>
        <v>5157.88392857143</v>
      </c>
      <c r="H13" s="19" t="s">
        <v>24</v>
      </c>
    </row>
    <row r="16" customFormat="false" ht="15" hidden="false" customHeight="true" outlineLevel="0" collapsed="false">
      <c r="A16" s="22" t="s">
        <v>56</v>
      </c>
    </row>
    <row r="17" customFormat="false" ht="26.25" hidden="false" customHeight="true" outlineLevel="0" collapsed="false">
      <c r="A17" s="21" t="s">
        <v>2</v>
      </c>
      <c r="B17" s="21" t="s">
        <v>50</v>
      </c>
      <c r="C17" s="21" t="s">
        <v>51</v>
      </c>
      <c r="D17" s="21" t="s">
        <v>52</v>
      </c>
      <c r="E17" s="21" t="s">
        <v>53</v>
      </c>
      <c r="F17" s="21" t="s">
        <v>54</v>
      </c>
      <c r="G17" s="21" t="s">
        <v>55</v>
      </c>
      <c r="H17" s="21" t="s">
        <v>23</v>
      </c>
    </row>
    <row r="18" customFormat="false" ht="15" hidden="false" customHeight="true" outlineLevel="0" collapsed="false">
      <c r="A18" s="23" t="s">
        <v>9</v>
      </c>
      <c r="B18" s="24" t="n">
        <v>3315</v>
      </c>
      <c r="C18" s="24" t="n">
        <v>27319</v>
      </c>
      <c r="D18" s="24" t="n">
        <v>257996</v>
      </c>
      <c r="E18" s="25" t="n">
        <f aca="false">B18/B$18</f>
        <v>1</v>
      </c>
      <c r="F18" s="25" t="n">
        <f aca="false">C18/C$18</f>
        <v>1</v>
      </c>
      <c r="G18" s="25" t="n">
        <f aca="false">D18/D$18</f>
        <v>1</v>
      </c>
      <c r="H18" s="23" t="s">
        <v>24</v>
      </c>
    </row>
    <row r="19" customFormat="false" ht="15" hidden="false" customHeight="true" outlineLevel="0" collapsed="false">
      <c r="A19" s="19" t="s">
        <v>8</v>
      </c>
      <c r="B19" s="20" t="n">
        <v>3169</v>
      </c>
      <c r="C19" s="20" t="n">
        <v>27348</v>
      </c>
      <c r="D19" s="20" t="n">
        <v>257122</v>
      </c>
      <c r="E19" s="26" t="n">
        <f aca="false">B19/B$18</f>
        <v>0.955957767722474</v>
      </c>
      <c r="F19" s="26" t="n">
        <f aca="false">C19/C$18</f>
        <v>1.00106153226692</v>
      </c>
      <c r="G19" s="26" t="n">
        <f aca="false">D19/D$18</f>
        <v>0.996612350579079</v>
      </c>
      <c r="H19" s="19" t="s">
        <v>24</v>
      </c>
    </row>
    <row r="20" customFormat="false" ht="15" hidden="false" customHeight="true" outlineLevel="0" collapsed="false">
      <c r="A20" s="19" t="s">
        <v>11</v>
      </c>
      <c r="B20" s="20" t="n">
        <v>3295</v>
      </c>
      <c r="C20" s="20" t="n">
        <v>28303</v>
      </c>
      <c r="D20" s="20" t="n">
        <v>263162</v>
      </c>
      <c r="E20" s="26" t="n">
        <f aca="false">B20/B$18</f>
        <v>0.993966817496229</v>
      </c>
      <c r="F20" s="26" t="n">
        <f aca="false">C20/C$18</f>
        <v>1.03601888795344</v>
      </c>
      <c r="G20" s="26" t="n">
        <f aca="false">D20/D$18</f>
        <v>1.02002356625684</v>
      </c>
      <c r="H20" s="19" t="s">
        <v>24</v>
      </c>
    </row>
    <row r="21" customFormat="false" ht="15" hidden="false" customHeight="true" outlineLevel="0" collapsed="false">
      <c r="A21" s="19" t="s">
        <v>25</v>
      </c>
      <c r="B21" s="20" t="n">
        <v>28574</v>
      </c>
      <c r="C21" s="20" t="n">
        <v>233517</v>
      </c>
      <c r="D21" s="20" t="n">
        <v>2182778</v>
      </c>
      <c r="E21" s="26" t="n">
        <f aca="false">B21/B$18</f>
        <v>8.61960784313725</v>
      </c>
      <c r="F21" s="26" t="n">
        <f aca="false">C21/C$18</f>
        <v>8.54778725429189</v>
      </c>
      <c r="G21" s="26" t="n">
        <f aca="false">D21/D$18</f>
        <v>8.46051101567466</v>
      </c>
      <c r="H21" s="19" t="s">
        <v>24</v>
      </c>
    </row>
    <row r="22" customFormat="false" ht="15" hidden="false" customHeight="true" outlineLevel="0" collapsed="false">
      <c r="A22" s="19" t="s">
        <v>26</v>
      </c>
      <c r="B22" s="20" t="n">
        <v>36431</v>
      </c>
      <c r="C22" s="20" t="n">
        <v>268048</v>
      </c>
      <c r="D22" s="20" t="n">
        <v>2517847</v>
      </c>
      <c r="E22" s="26" t="n">
        <f aca="false">B22/B$18</f>
        <v>10.9897435897436</v>
      </c>
      <c r="F22" s="26" t="n">
        <f aca="false">C22/C$18</f>
        <v>9.81177934770672</v>
      </c>
      <c r="G22" s="26" t="n">
        <f aca="false">D22/D$18</f>
        <v>9.75924820539853</v>
      </c>
      <c r="H22" s="19" t="s">
        <v>24</v>
      </c>
    </row>
    <row r="25" customFormat="false" ht="15" hidden="false" customHeight="true" outlineLevel="0" collapsed="false">
      <c r="A25" s="22" t="s">
        <v>57</v>
      </c>
    </row>
    <row r="26" customFormat="false" ht="15" hidden="false" customHeight="true" outlineLevel="0" collapsed="false">
      <c r="A26" s="19" t="s">
        <v>9</v>
      </c>
      <c r="B26" s="27" t="n">
        <f aca="false">D18/$D$4</f>
        <v>6.89736666221093</v>
      </c>
    </row>
    <row r="27" customFormat="false" ht="15" hidden="false" customHeight="true" outlineLevel="0" collapsed="false">
      <c r="A27" s="19" t="s">
        <v>13</v>
      </c>
      <c r="B27" s="27" t="n">
        <f aca="false">D21/$D$4</f>
        <v>58.3552466247828</v>
      </c>
    </row>
    <row r="28" customFormat="false" ht="15" hidden="false" customHeight="true" outlineLevel="0" collapsed="false">
      <c r="A28" s="19" t="s">
        <v>14</v>
      </c>
      <c r="B28" s="27" t="n">
        <f aca="false">D22/$D$4</f>
        <v>67.3131132201577</v>
      </c>
    </row>
    <row r="30" customFormat="false" ht="15" hidden="false" customHeight="true" outlineLevel="0" collapsed="false">
      <c r="A30" s="3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0"/>
  </cols>
  <sheetData>
    <row r="1" customFormat="false" ht="15.75" hidden="false" customHeight="true" outlineLevel="0" collapsed="false">
      <c r="A1" s="2" t="s">
        <v>59</v>
      </c>
    </row>
    <row r="2" customFormat="false" ht="15" hidden="false" customHeight="true" outlineLevel="0" collapsed="false">
      <c r="A2" s="3" t="s">
        <v>60</v>
      </c>
    </row>
    <row r="4" customFormat="false" ht="15" hidden="false" customHeight="true" outlineLevel="0" collapsed="false">
      <c r="A4" s="4" t="s">
        <v>61</v>
      </c>
      <c r="B4" s="4" t="s">
        <v>62</v>
      </c>
    </row>
    <row r="5" customFormat="false" ht="26.25" hidden="false" customHeight="true" outlineLevel="0" collapsed="false">
      <c r="A5" s="28" t="n">
        <v>1</v>
      </c>
      <c r="B5" s="5" t="s">
        <v>63</v>
      </c>
    </row>
    <row r="6" customFormat="false" ht="15" hidden="false" customHeight="true" outlineLevel="0" collapsed="false">
      <c r="A6" s="28" t="n">
        <v>2</v>
      </c>
      <c r="B6" s="5" t="s">
        <v>64</v>
      </c>
    </row>
    <row r="7" customFormat="false" ht="26.25" hidden="false" customHeight="true" outlineLevel="0" collapsed="false">
      <c r="A7" s="28" t="n">
        <v>3</v>
      </c>
      <c r="B7" s="5" t="s">
        <v>65</v>
      </c>
    </row>
    <row r="8" customFormat="false" ht="15" hidden="false" customHeight="true" outlineLevel="0" collapsed="false">
      <c r="A8" s="28" t="n">
        <v>4</v>
      </c>
      <c r="B8" s="5" t="s">
        <v>66</v>
      </c>
    </row>
    <row r="9" customFormat="false" ht="26.25" hidden="false" customHeight="true" outlineLevel="0" collapsed="false">
      <c r="A9" s="28" t="n">
        <v>5</v>
      </c>
      <c r="B9" s="5" t="s">
        <v>67</v>
      </c>
    </row>
    <row r="10" customFormat="false" ht="26.25" hidden="false" customHeight="true" outlineLevel="0" collapsed="false">
      <c r="A10" s="28" t="n">
        <v>6</v>
      </c>
      <c r="B10" s="5" t="s">
        <v>68</v>
      </c>
    </row>
    <row r="11" customFormat="false" ht="15" hidden="false" customHeight="true" outlineLevel="0" collapsed="false">
      <c r="A11" s="28" t="n">
        <v>7</v>
      </c>
      <c r="B11" s="5" t="s">
        <v>69</v>
      </c>
    </row>
    <row r="12" customFormat="false" ht="15" hidden="false" customHeight="true" outlineLevel="0" collapsed="false">
      <c r="A12" s="28" t="n">
        <v>8</v>
      </c>
      <c r="B12" s="29" t="s">
        <v>70</v>
      </c>
    </row>
    <row r="13" customFormat="false" ht="26.25" hidden="false" customHeight="true" outlineLevel="0" collapsed="false">
      <c r="A13" s="28" t="n">
        <v>9</v>
      </c>
      <c r="B13" s="29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2026-10-19T09:47:53Z</dcterms:created>
  <dc:creator>openpyxl</dc:creator>
  <dc:description/>
  <dc:language>en-US</dc:language>
  <cp:lastModifiedBy/>
  <dcterms:modified xsi:type="dcterms:W3CDTF">2026-10-19T09:50:54Z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