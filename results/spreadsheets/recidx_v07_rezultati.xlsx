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zgradnja i pretraga" sheetId="1" state="visible" r:id="rId3"/>
    <sheet name="Opsezi" sheetId="2" state="visible" r:id="rId4"/>
    <sheet name="CRUD" sheetId="3" state="visible" r:id="rId5"/>
    <sheet name="fsync" sheetId="4" state="visible" r:id="rId6"/>
    <sheet name="Zaključc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<sst xmlns="http://schemas.openxmlformats.org/spreadsheetml/2006/main" count="105" uniqueCount="74">
  <si>
    <t xml:space="preserve">Izgradnja i pretraga WHERE size_bytes = ?</t>
  </si>
  <si>
    <t xml:space="preserve">recidx v0.7, kompletno pokretanje --cache --find --range --crud --disk (results/run_1792404677.txt), 4.581.340 redova, 1 nit. Plavo = izmereno; crno = formule.</t>
  </si>
  <si>
    <t xml:space="preserve">Struktura</t>
  </si>
  <si>
    <t xml:space="preserve">Izgradnja ms</t>
  </si>
  <si>
    <t xml:space="preserve">Odnos izgradnje prema Log(12)</t>
  </si>
  <si>
    <t xml:space="preserve">Memorija MiB</t>
  </si>
  <si>
    <t xml:space="preserve">Pretraga ns/upit</t>
  </si>
  <si>
    <t xml:space="preserve">Odnos pretrage prema Log(12)</t>
  </si>
  <si>
    <t xml:space="preserve">Recognition Index, Log(12)</t>
  </si>
  <si>
    <t xml:space="preserve">Recognition Index, Log(10)</t>
  </si>
  <si>
    <t xml:space="preserve">Recognition Index, Linear(16 bita)</t>
  </si>
  <si>
    <t xml:space="preserve">Sortiran niz + binarna pretraga</t>
  </si>
  <si>
    <t xml:space="preserve">Heš mapa (FxHash)</t>
  </si>
  <si>
    <t xml:space="preserve">Rust BTreeSet</t>
  </si>
  <si>
    <t xml:space="preserve">SQLite B-tree, :memory: (kroz SQL)</t>
  </si>
  <si>
    <t xml:space="preserve">SQLite B-tree, disk (kroz SQL)</t>
  </si>
  <si>
    <t xml:space="preserve">na disku</t>
  </si>
  <si>
    <t xml:space="preserve">200.000 upita, medijana od 5 ponavljanja; svi vraćaju 10.774.851 redova (isti rezultat). Odnos &gt; 1 = sporije od Log(12). SQLite uključuje SQL mašineriju.</t>
  </si>
  <si>
    <t xml:space="preserve">Opsezi WHERE size_bytes BETWEEN a AND b (ns po upitu)</t>
  </si>
  <si>
    <t xml:space="preserve">Prosečno pogodaka po opsegu</t>
  </si>
  <si>
    <t xml:space="preserve">COUNT (samo broj pogodaka)</t>
  </si>
  <si>
    <t xml:space="preserve">0,1%</t>
  </si>
  <si>
    <t xml:space="preserve">1%</t>
  </si>
  <si>
    <t xml:space="preserve">10%</t>
  </si>
  <si>
    <t xml:space="preserve">0,1% odnos</t>
  </si>
  <si>
    <t xml:space="preserve">1% odnos</t>
  </si>
  <si>
    <t xml:space="preserve">10% odnos</t>
  </si>
  <si>
    <t xml:space="preserve">SQLite B-tree, :memory:</t>
  </si>
  <si>
    <t xml:space="preserve">SQLite B-tree, disk</t>
  </si>
  <si>
    <t xml:space="preserve">FETCH (svi rowid-ovi)</t>
  </si>
  <si>
    <t xml:space="preserve">2.000 opsega po klasi, b = a + a·w. Heš mapa ne podržava opsege. COUNT kod sortiranih nizova = razlika dve pozicije; BTreeSet i SQLite broje prolaskom kroz opseg.</t>
  </si>
  <si>
    <t xml:space="preserve">Izmene (CRUD) — µs po operaciji</t>
  </si>
  <si>
    <t xml:space="preserve">Serija 1</t>
  </si>
  <si>
    <t xml:space="preserve">Serija 1.000</t>
  </si>
  <si>
    <t xml:space="preserve">Serija 100.000</t>
  </si>
  <si>
    <t xml:space="preserve">Prosek</t>
  </si>
  <si>
    <t xml:space="preserve">Odnos prema BTreeSet</t>
  </si>
  <si>
    <t xml:space="preserve">Priprema ms</t>
  </si>
  <si>
    <t xml:space="preserve">Izvršeno operacija</t>
  </si>
  <si>
    <t xml:space="preserve">Recognition A — jedan niz</t>
  </si>
  <si>
    <t xml:space="preserve">3.000 (ograničeno)</t>
  </si>
  <si>
    <t xml:space="preserve">Recognition B — niz po bucket-u</t>
  </si>
  <si>
    <t xml:space="preserve">100.000</t>
  </si>
  <si>
    <t xml:space="preserve">Recognition C — bafer + izgradnja</t>
  </si>
  <si>
    <t xml:space="preserve">Heš mapa (bez opsega)</t>
  </si>
  <si>
    <t xml:space="preserve">SQLite :memory:</t>
  </si>
  <si>
    <t xml:space="preserve">—</t>
  </si>
  <si>
    <t xml:space="preserve">SQLite disk, synchronous=FULL</t>
  </si>
  <si>
    <t xml:space="preserve">2.000 / 100.000 / 100.000</t>
  </si>
  <si>
    <t xml:space="preserve">SQLite disk, synchronous=OFF</t>
  </si>
  <si>
    <t xml:space="preserve">10.000 / 100.000 / 100.000</t>
  </si>
  <si>
    <t xml:space="preserve">100.000 operacija: 30% Create, 25% Delete, 25% Update, 20% Read. Sve: čitanja tačna i krajnje stanje = model. Priprema SQLite disk = prosek tri serije. Odnos &gt; 1 = sporije od BTreeSet.</t>
  </si>
  <si>
    <t xml:space="preserve">SQLite disk: udeo fsync-a u vremenu</t>
  </si>
  <si>
    <t xml:space="preserve">Serija</t>
  </si>
  <si>
    <t xml:space="preserve">FULL µs/op</t>
  </si>
  <si>
    <t xml:space="preserve">OFF µs/op</t>
  </si>
  <si>
    <t xml:space="preserve">Udeo fsync-a</t>
  </si>
  <si>
    <t xml:space="preserve">SQLite :memory: µs/op</t>
  </si>
  <si>
    <t xml:space="preserve">OFF prema :memory:</t>
  </si>
  <si>
    <t xml:space="preserve">1</t>
  </si>
  <si>
    <t xml:space="preserve">1.000</t>
  </si>
  <si>
    <t xml:space="preserve">Udeo fsync-a = (FULL − OFF) / FULL. Ostatak razlike prema :memory: = čitanje/upis stranica uz mali podrazumevani keš (2 MB) — tumačenje, nije izmereno.</t>
  </si>
  <si>
    <t xml:space="preserve">Zaključci, ograničenje i sledeći korak</t>
  </si>
  <si>
    <t xml:space="preserve">Tumačenje rezultata iz prethodnih listova.</t>
  </si>
  <si>
    <t xml:space="preserve">#</t>
  </si>
  <si>
    <t xml:space="preserve">Nalaz</t>
  </si>
  <si>
    <t xml:space="preserve">Recognition Index pobeđuje u izgradnji (2,2× brže od BTreeSet, 3× od heš mape) i troši najmanje memorije među dinamičkim strukturama.</t>
  </si>
  <si>
    <t xml:space="preserve">Pretraga po jednakosti: izjednačen sa heš mapom (561 naspram 564 ns), 1,35× brži od BTreeSet-a — uz podršku za opsege, koju heš nema.</t>
  </si>
  <si>
    <t xml:space="preserve">COUNT nad opsegom: 166–271 ns bez obzira na broj pogodaka; BTreeSet 11–396× sporiji jer broji prolaskom.</t>
  </si>
  <si>
    <t xml:space="preserve">FETCH: sve sortirane strukture približno iste — vreme odlazi na vraćanje redova.</t>
  </si>
  <si>
    <t xml:space="preserve">Izmene: varijanta B je 1,15–1,27× sporija od BTreeSet-a; A je neupotrebljiva (~2,9 ms po operaciji); C plaća održavanje bafera, a ne izgradnju.</t>
  </si>
  <si>
    <t xml:space="preserve">SQLite disk: fsync nosi 96% vremena kod pojedinačnih commit-ova; i bez njega disk je 6,8–10,1× sporiji od :memory:.</t>
  </si>
  <si>
    <t xml:space="preserve">OGRANIČENJE: brz COUNT ima statična verzija (jedan niz). Dinamička B nema implementiran ni meren COUNT preko bucket-a — još se ne može tvrditi da ista struktura ima i brze izmene i COUNT ~200 ns.</t>
  </si>
  <si>
    <t xml:space="preserve">Sledeći korak (predlog v0.8): B + Fenwick stablo nad veličinama bucket-a; B kroz sva tri testa kao jedna kandidat-struktura.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</si>
</sst>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\×"/>
    <numFmt numFmtId="167" formatCode="#,##0"/>
    <numFmt numFmtId="168" formatCode="#,##0.00"/>
    <numFmt numFmtId="169" formatCode="0%"/>
    <numFmt numFmtId="170" formatCode="0.00"/>
    <numFmt numFmtId="171" formatCode="0.0\×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6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9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n">
        <v>153.3</v>
      </c>
      <c r="C5" s="7" t="n">
        <f aca="false">B5/$B$5</f>
        <v>1</v>
      </c>
      <c r="D5" s="6" t="n">
        <v>70.3</v>
      </c>
      <c r="E5" s="8" t="n">
        <v>561</v>
      </c>
      <c r="F5" s="7" t="n">
        <f aca="false">E5/$E$5</f>
        <v>1</v>
      </c>
    </row>
    <row r="6" customFormat="false" ht="15" hidden="false" customHeight="true" outlineLevel="0" collapsed="false">
      <c r="A6" s="9" t="s">
        <v>9</v>
      </c>
      <c r="B6" s="10" t="n">
        <v>154.5</v>
      </c>
      <c r="C6" s="11" t="n">
        <f aca="false">B6/$B$5</f>
        <v>1.00782778864971</v>
      </c>
      <c r="D6" s="10" t="n">
        <v>70</v>
      </c>
      <c r="E6" s="12" t="n">
        <v>681</v>
      </c>
      <c r="F6" s="11" t="n">
        <f aca="false">E6/$E$5</f>
        <v>1.21390374331551</v>
      </c>
    </row>
    <row r="7" customFormat="false" ht="15" hidden="false" customHeight="true" outlineLevel="0" collapsed="false">
      <c r="A7" s="9" t="s">
        <v>10</v>
      </c>
      <c r="B7" s="10" t="n">
        <v>151.5</v>
      </c>
      <c r="C7" s="11" t="n">
        <f aca="false">B7/$B$5</f>
        <v>0.98825831702544</v>
      </c>
      <c r="D7" s="10" t="n">
        <v>70.1</v>
      </c>
      <c r="E7" s="12" t="n">
        <v>755</v>
      </c>
      <c r="F7" s="11" t="n">
        <f aca="false">E7/$E$5</f>
        <v>1.3458110516934</v>
      </c>
    </row>
    <row r="8" customFormat="false" ht="15" hidden="false" customHeight="true" outlineLevel="0" collapsed="false">
      <c r="A8" s="9" t="s">
        <v>11</v>
      </c>
      <c r="B8" s="10" t="n">
        <v>144</v>
      </c>
      <c r="C8" s="11" t="n">
        <f aca="false">B8/$B$5</f>
        <v>0.939334637964775</v>
      </c>
      <c r="D8" s="10" t="n">
        <v>69.9</v>
      </c>
      <c r="E8" s="12" t="n">
        <v>763</v>
      </c>
      <c r="F8" s="11" t="n">
        <f aca="false">E8/$E$5</f>
        <v>1.36007130124777</v>
      </c>
    </row>
    <row r="9" customFormat="false" ht="15" hidden="false" customHeight="true" outlineLevel="0" collapsed="false">
      <c r="A9" s="9" t="s">
        <v>12</v>
      </c>
      <c r="B9" s="10" t="n">
        <v>458.9</v>
      </c>
      <c r="C9" s="11" t="n">
        <f aca="false">B9/$B$5</f>
        <v>2.99347684279191</v>
      </c>
      <c r="D9" s="10" t="n">
        <v>124.7</v>
      </c>
      <c r="E9" s="12" t="n">
        <v>564</v>
      </c>
      <c r="F9" s="11" t="n">
        <f aca="false">E9/$E$5</f>
        <v>1.00534759358289</v>
      </c>
    </row>
    <row r="10" customFormat="false" ht="15" hidden="false" customHeight="true" outlineLevel="0" collapsed="false">
      <c r="A10" s="9" t="s">
        <v>13</v>
      </c>
      <c r="B10" s="10" t="n">
        <v>329.7</v>
      </c>
      <c r="C10" s="11" t="n">
        <f aca="false">B10/$B$5</f>
        <v>2.15068493150685</v>
      </c>
      <c r="D10" s="10" t="n">
        <v>79.4</v>
      </c>
      <c r="E10" s="12" t="n">
        <v>760</v>
      </c>
      <c r="F10" s="11" t="n">
        <f aca="false">E10/$E$5</f>
        <v>1.35472370766488</v>
      </c>
    </row>
    <row r="11" customFormat="false" ht="15" hidden="false" customHeight="true" outlineLevel="0" collapsed="false">
      <c r="A11" s="9" t="s">
        <v>14</v>
      </c>
      <c r="B11" s="10" t="n">
        <v>1869.4</v>
      </c>
      <c r="C11" s="11" t="n">
        <f aca="false">B11/$B$5</f>
        <v>12.194390084801</v>
      </c>
      <c r="D11" s="10" t="n">
        <v>51.2</v>
      </c>
      <c r="E11" s="12" t="n">
        <v>4149</v>
      </c>
      <c r="F11" s="11" t="n">
        <f aca="false">E11/$E$5</f>
        <v>7.39572192513369</v>
      </c>
    </row>
    <row r="12" customFormat="false" ht="15" hidden="false" customHeight="true" outlineLevel="0" collapsed="false">
      <c r="A12" s="9" t="s">
        <v>15</v>
      </c>
      <c r="B12" s="10" t="n">
        <v>5137.8</v>
      </c>
      <c r="C12" s="11" t="n">
        <f aca="false">B12/$B$5</f>
        <v>33.5146771037182</v>
      </c>
      <c r="D12" s="13" t="s">
        <v>16</v>
      </c>
      <c r="E12" s="12" t="n">
        <v>10493</v>
      </c>
      <c r="F12" s="11" t="n">
        <f aca="false">E12/$E$5</f>
        <v>18.7040998217469</v>
      </c>
    </row>
    <row r="14" customFormat="false" ht="15" hidden="false" customHeight="true" outlineLevel="0" collapsed="false">
      <c r="A14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7" min="2" style="1" width="12"/>
  </cols>
  <sheetData>
    <row r="1" customFormat="false" ht="15.75" hidden="false" customHeight="true" outlineLevel="0" collapsed="false">
      <c r="A1" s="2" t="s">
        <v>18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9" t="s">
        <v>19</v>
      </c>
      <c r="B4" s="12" t="n">
        <v>454</v>
      </c>
      <c r="C4" s="12" t="n">
        <v>4001</v>
      </c>
      <c r="D4" s="12" t="n">
        <v>37405</v>
      </c>
    </row>
    <row r="6" customFormat="false" ht="15" hidden="false" customHeight="true" outlineLevel="0" collapsed="false">
      <c r="A6" s="14" t="s">
        <v>20</v>
      </c>
    </row>
    <row r="7" customFormat="false" ht="26.25" hidden="false" customHeight="true" outlineLevel="0" collapsed="false">
      <c r="A7" s="4" t="s">
        <v>2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26</v>
      </c>
    </row>
    <row r="8" customFormat="false" ht="15" hidden="false" customHeight="true" outlineLevel="0" collapsed="false">
      <c r="A8" s="5" t="s">
        <v>8</v>
      </c>
      <c r="B8" s="8" t="n">
        <v>166</v>
      </c>
      <c r="C8" s="8" t="n">
        <v>239</v>
      </c>
      <c r="D8" s="8" t="n">
        <v>271</v>
      </c>
      <c r="E8" s="7" t="n">
        <f aca="false">B8/B$8</f>
        <v>1</v>
      </c>
      <c r="F8" s="7" t="n">
        <f aca="false">C8/C$8</f>
        <v>1</v>
      </c>
      <c r="G8" s="7" t="n">
        <f aca="false">D8/D$8</f>
        <v>1</v>
      </c>
    </row>
    <row r="9" customFormat="false" ht="15" hidden="false" customHeight="true" outlineLevel="0" collapsed="false">
      <c r="A9" s="9" t="s">
        <v>9</v>
      </c>
      <c r="B9" s="12" t="n">
        <v>104</v>
      </c>
      <c r="C9" s="12" t="n">
        <v>322</v>
      </c>
      <c r="D9" s="12" t="n">
        <v>307</v>
      </c>
      <c r="E9" s="11" t="n">
        <f aca="false">B9/B$8</f>
        <v>0.626506024096386</v>
      </c>
      <c r="F9" s="11" t="n">
        <f aca="false">C9/C$8</f>
        <v>1.34728033472803</v>
      </c>
      <c r="G9" s="11" t="n">
        <f aca="false">D9/D$8</f>
        <v>1.13284132841328</v>
      </c>
    </row>
    <row r="10" customFormat="false" ht="15" hidden="false" customHeight="true" outlineLevel="0" collapsed="false">
      <c r="A10" s="9" t="s">
        <v>11</v>
      </c>
      <c r="B10" s="12" t="n">
        <v>265</v>
      </c>
      <c r="C10" s="12" t="n">
        <v>572</v>
      </c>
      <c r="D10" s="12" t="n">
        <v>724</v>
      </c>
      <c r="E10" s="11" t="n">
        <f aca="false">B10/B$8</f>
        <v>1.59638554216867</v>
      </c>
      <c r="F10" s="11" t="n">
        <f aca="false">C10/C$8</f>
        <v>2.39330543933054</v>
      </c>
      <c r="G10" s="11" t="n">
        <f aca="false">D10/D$8</f>
        <v>2.67158671586716</v>
      </c>
    </row>
    <row r="11" customFormat="false" ht="15" hidden="false" customHeight="true" outlineLevel="0" collapsed="false">
      <c r="A11" s="9" t="s">
        <v>13</v>
      </c>
      <c r="B11" s="12" t="n">
        <v>1868</v>
      </c>
      <c r="C11" s="12" t="n">
        <v>14087</v>
      </c>
      <c r="D11" s="12" t="n">
        <v>107335</v>
      </c>
      <c r="E11" s="11" t="n">
        <f aca="false">B11/B$8</f>
        <v>11.2530120481928</v>
      </c>
      <c r="F11" s="11" t="n">
        <f aca="false">C11/C$8</f>
        <v>58.9414225941423</v>
      </c>
      <c r="G11" s="11" t="n">
        <f aca="false">D11/D$8</f>
        <v>396.070110701107</v>
      </c>
    </row>
    <row r="12" customFormat="false" ht="15" hidden="false" customHeight="true" outlineLevel="0" collapsed="false">
      <c r="A12" s="9" t="s">
        <v>27</v>
      </c>
      <c r="B12" s="12" t="n">
        <v>12647</v>
      </c>
      <c r="C12" s="12" t="n">
        <v>110823</v>
      </c>
      <c r="D12" s="12" t="n">
        <v>966639</v>
      </c>
      <c r="E12" s="11" t="n">
        <f aca="false">B12/B$8</f>
        <v>76.1867469879518</v>
      </c>
      <c r="F12" s="11" t="n">
        <f aca="false">C12/C$8</f>
        <v>463.694560669456</v>
      </c>
      <c r="G12" s="11" t="n">
        <f aca="false">D12/D$8</f>
        <v>3566.93357933579</v>
      </c>
    </row>
    <row r="13" customFormat="false" ht="15" hidden="false" customHeight="true" outlineLevel="0" collapsed="false">
      <c r="A13" s="9" t="s">
        <v>28</v>
      </c>
      <c r="B13" s="12" t="n">
        <v>21679</v>
      </c>
      <c r="C13" s="12" t="n">
        <v>136371</v>
      </c>
      <c r="D13" s="12" t="n">
        <v>1190766</v>
      </c>
      <c r="E13" s="11" t="n">
        <f aca="false">B13/B$8</f>
        <v>130.596385542169</v>
      </c>
      <c r="F13" s="11" t="n">
        <f aca="false">C13/C$8</f>
        <v>570.589958158996</v>
      </c>
      <c r="G13" s="11" t="n">
        <f aca="false">D13/D$8</f>
        <v>4393.9704797048</v>
      </c>
    </row>
    <row r="16" customFormat="false" ht="15" hidden="false" customHeight="true" outlineLevel="0" collapsed="false">
      <c r="A16" s="14" t="s">
        <v>29</v>
      </c>
    </row>
    <row r="17" customFormat="false" ht="26.25" hidden="false" customHeight="true" outlineLevel="0" collapsed="false">
      <c r="A17" s="4" t="s">
        <v>2</v>
      </c>
      <c r="B17" s="4" t="s">
        <v>21</v>
      </c>
      <c r="C17" s="4" t="s">
        <v>22</v>
      </c>
      <c r="D17" s="4" t="s">
        <v>23</v>
      </c>
      <c r="E17" s="4" t="s">
        <v>24</v>
      </c>
      <c r="F17" s="4" t="s">
        <v>25</v>
      </c>
      <c r="G17" s="4" t="s">
        <v>26</v>
      </c>
    </row>
    <row r="18" customFormat="false" ht="15" hidden="false" customHeight="true" outlineLevel="0" collapsed="false">
      <c r="A18" s="5" t="s">
        <v>8</v>
      </c>
      <c r="B18" s="8" t="n">
        <v>3446</v>
      </c>
      <c r="C18" s="8" t="n">
        <v>29478</v>
      </c>
      <c r="D18" s="8" t="n">
        <v>283522</v>
      </c>
      <c r="E18" s="7" t="n">
        <f aca="false">B18/B$18</f>
        <v>1</v>
      </c>
      <c r="F18" s="7" t="n">
        <f aca="false">C18/C$18</f>
        <v>1</v>
      </c>
      <c r="G18" s="7" t="n">
        <f aca="false">D18/D$18</f>
        <v>1</v>
      </c>
    </row>
    <row r="19" customFormat="false" ht="15" hidden="false" customHeight="true" outlineLevel="0" collapsed="false">
      <c r="A19" s="9" t="s">
        <v>9</v>
      </c>
      <c r="B19" s="12" t="n">
        <v>3556</v>
      </c>
      <c r="C19" s="12" t="n">
        <v>30132</v>
      </c>
      <c r="D19" s="12" t="n">
        <v>273294</v>
      </c>
      <c r="E19" s="11" t="n">
        <f aca="false">B19/B$18</f>
        <v>1.03192106790482</v>
      </c>
      <c r="F19" s="11" t="n">
        <f aca="false">C19/C$18</f>
        <v>1.02218603704458</v>
      </c>
      <c r="G19" s="11" t="n">
        <f aca="false">D19/D$18</f>
        <v>0.963925198044596</v>
      </c>
    </row>
    <row r="20" customFormat="false" ht="15" hidden="false" customHeight="true" outlineLevel="0" collapsed="false">
      <c r="A20" s="9" t="s">
        <v>11</v>
      </c>
      <c r="B20" s="12" t="n">
        <v>3486</v>
      </c>
      <c r="C20" s="12" t="n">
        <v>28943</v>
      </c>
      <c r="D20" s="12" t="n">
        <v>265215</v>
      </c>
      <c r="E20" s="11" t="n">
        <f aca="false">B20/B$18</f>
        <v>1.0116076610563</v>
      </c>
      <c r="F20" s="11" t="n">
        <f aca="false">C20/C$18</f>
        <v>0.981850871836624</v>
      </c>
      <c r="G20" s="11" t="n">
        <f aca="false">D20/D$18</f>
        <v>0.935430054810561</v>
      </c>
    </row>
    <row r="21" customFormat="false" ht="15" hidden="false" customHeight="true" outlineLevel="0" collapsed="false">
      <c r="A21" s="9" t="s">
        <v>13</v>
      </c>
      <c r="B21" s="12" t="n">
        <v>4395</v>
      </c>
      <c r="C21" s="12" t="n">
        <v>34479</v>
      </c>
      <c r="D21" s="12" t="n">
        <v>298710</v>
      </c>
      <c r="E21" s="11" t="n">
        <f aca="false">B21/B$18</f>
        <v>1.27539175856065</v>
      </c>
      <c r="F21" s="11" t="n">
        <f aca="false">C21/C$18</f>
        <v>1.16965194382251</v>
      </c>
      <c r="G21" s="11" t="n">
        <f aca="false">D21/D$18</f>
        <v>1.05356903520714</v>
      </c>
    </row>
    <row r="22" customFormat="false" ht="15" hidden="false" customHeight="true" outlineLevel="0" collapsed="false">
      <c r="A22" s="9" t="s">
        <v>27</v>
      </c>
      <c r="B22" s="12" t="n">
        <v>29013</v>
      </c>
      <c r="C22" s="12" t="n">
        <v>254546</v>
      </c>
      <c r="D22" s="12" t="n">
        <v>2294736</v>
      </c>
      <c r="E22" s="11" t="n">
        <f aca="false">B22/B$18</f>
        <v>8.41932675565874</v>
      </c>
      <c r="F22" s="11" t="n">
        <f aca="false">C22/C$18</f>
        <v>8.63511771490603</v>
      </c>
      <c r="G22" s="11" t="n">
        <f aca="false">D22/D$18</f>
        <v>8.09367879741255</v>
      </c>
    </row>
    <row r="23" customFormat="false" ht="15" hidden="false" customHeight="true" outlineLevel="0" collapsed="false">
      <c r="A23" s="9" t="s">
        <v>28</v>
      </c>
      <c r="B23" s="12" t="n">
        <v>38741</v>
      </c>
      <c r="C23" s="12" t="n">
        <v>273396</v>
      </c>
      <c r="D23" s="12" t="n">
        <v>2516622</v>
      </c>
      <c r="E23" s="11" t="n">
        <f aca="false">B23/B$18</f>
        <v>11.2423099245502</v>
      </c>
      <c r="F23" s="11" t="n">
        <f aca="false">C23/C$18</f>
        <v>9.27457765112966</v>
      </c>
      <c r="G23" s="11" t="n">
        <f aca="false">D23/D$18</f>
        <v>8.87628473275442</v>
      </c>
    </row>
    <row r="26" customFormat="false" ht="15" hidden="false" customHeight="true" outlineLevel="0" collapsed="false">
      <c r="A26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24"/>
  </cols>
  <sheetData>
    <row r="1" customFormat="false" ht="15.75" hidden="false" customHeight="true" outlineLevel="0" collapsed="false">
      <c r="A1" s="2" t="s">
        <v>31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5</v>
      </c>
      <c r="I4" s="4" t="s">
        <v>38</v>
      </c>
    </row>
    <row r="5" customFormat="false" ht="15" hidden="false" customHeight="true" outlineLevel="0" collapsed="false">
      <c r="A5" s="9" t="s">
        <v>39</v>
      </c>
      <c r="B5" s="15" t="n">
        <v>2879.9</v>
      </c>
      <c r="C5" s="15" t="n">
        <v>2893.46</v>
      </c>
      <c r="D5" s="15" t="n">
        <v>2879.11</v>
      </c>
      <c r="E5" s="16" t="n">
        <f aca="false">AVERAGE(B5:D5)</f>
        <v>2884.15666666667</v>
      </c>
      <c r="F5" s="11" t="n">
        <f aca="false">E5/$E$8</f>
        <v>4780.37016574586</v>
      </c>
      <c r="G5" s="12" t="n">
        <v>21</v>
      </c>
      <c r="H5" s="10" t="n">
        <v>70.3</v>
      </c>
      <c r="I5" s="9" t="s">
        <v>40</v>
      </c>
    </row>
    <row r="6" customFormat="false" ht="15" hidden="false" customHeight="true" outlineLevel="0" collapsed="false">
      <c r="A6" s="9" t="s">
        <v>41</v>
      </c>
      <c r="B6" s="15" t="n">
        <v>0.7</v>
      </c>
      <c r="C6" s="15" t="n">
        <v>0.76</v>
      </c>
      <c r="D6" s="15" t="n">
        <v>0.69</v>
      </c>
      <c r="E6" s="16" t="n">
        <f aca="false">AVERAGE(B6:D6)</f>
        <v>0.716666666666667</v>
      </c>
      <c r="F6" s="11" t="n">
        <f aca="false">E6/$E$8</f>
        <v>1.1878453038674</v>
      </c>
      <c r="G6" s="12" t="n">
        <v>42</v>
      </c>
      <c r="H6" s="10" t="n">
        <v>72.1</v>
      </c>
      <c r="I6" s="9" t="s">
        <v>42</v>
      </c>
    </row>
    <row r="7" customFormat="false" ht="15" hidden="false" customHeight="true" outlineLevel="0" collapsed="false">
      <c r="A7" s="9" t="s">
        <v>43</v>
      </c>
      <c r="B7" s="15" t="n">
        <v>1.33</v>
      </c>
      <c r="C7" s="15" t="n">
        <v>1.31</v>
      </c>
      <c r="D7" s="15" t="n">
        <v>1.29</v>
      </c>
      <c r="E7" s="16" t="n">
        <f aca="false">AVERAGE(B7:D7)</f>
        <v>1.31</v>
      </c>
      <c r="F7" s="11" t="n">
        <f aca="false">E7/$E$8</f>
        <v>2.17127071823204</v>
      </c>
      <c r="G7" s="12" t="n">
        <v>20</v>
      </c>
      <c r="H7" s="10" t="n">
        <v>70.3</v>
      </c>
      <c r="I7" s="9" t="s">
        <v>42</v>
      </c>
    </row>
    <row r="8" customFormat="false" ht="15" hidden="false" customHeight="true" outlineLevel="0" collapsed="false">
      <c r="A8" s="5" t="s">
        <v>13</v>
      </c>
      <c r="B8" s="17" t="n">
        <v>0.59</v>
      </c>
      <c r="C8" s="17" t="n">
        <v>0.6</v>
      </c>
      <c r="D8" s="17" t="n">
        <v>0.62</v>
      </c>
      <c r="E8" s="18" t="n">
        <f aca="false">AVERAGE(B8:D8)</f>
        <v>0.603333333333333</v>
      </c>
      <c r="F8" s="7" t="n">
        <f aca="false">E8/$E$8</f>
        <v>1</v>
      </c>
      <c r="G8" s="8" t="n">
        <v>70</v>
      </c>
      <c r="H8" s="6" t="n">
        <v>79.4</v>
      </c>
      <c r="I8" s="5" t="s">
        <v>42</v>
      </c>
    </row>
    <row r="9" customFormat="false" ht="15" hidden="false" customHeight="true" outlineLevel="0" collapsed="false">
      <c r="A9" s="9" t="s">
        <v>44</v>
      </c>
      <c r="B9" s="15" t="n">
        <v>0.34</v>
      </c>
      <c r="C9" s="15" t="n">
        <v>0.34</v>
      </c>
      <c r="D9" s="15" t="n">
        <v>0.35</v>
      </c>
      <c r="E9" s="16" t="n">
        <f aca="false">AVERAGE(B9:D9)</f>
        <v>0.343333333333333</v>
      </c>
      <c r="F9" s="11" t="n">
        <f aca="false">E9/$E$8</f>
        <v>0.569060773480663</v>
      </c>
      <c r="G9" s="12" t="n">
        <v>207</v>
      </c>
      <c r="H9" s="10" t="n">
        <v>124.7</v>
      </c>
      <c r="I9" s="9" t="s">
        <v>42</v>
      </c>
    </row>
    <row r="10" customFormat="false" ht="15" hidden="false" customHeight="true" outlineLevel="0" collapsed="false">
      <c r="A10" s="9" t="s">
        <v>45</v>
      </c>
      <c r="B10" s="15" t="n">
        <v>8.75</v>
      </c>
      <c r="C10" s="15" t="n">
        <v>4.62</v>
      </c>
      <c r="D10" s="15" t="n">
        <v>3.73</v>
      </c>
      <c r="E10" s="16" t="n">
        <f aca="false">AVERAGE(B10:D10)</f>
        <v>5.7</v>
      </c>
      <c r="F10" s="11" t="n">
        <f aca="false">E10/$E$8</f>
        <v>9.4475138121547</v>
      </c>
      <c r="G10" s="12" t="n">
        <v>3371</v>
      </c>
      <c r="H10" s="13" t="s">
        <v>46</v>
      </c>
      <c r="I10" s="9" t="s">
        <v>42</v>
      </c>
    </row>
    <row r="11" customFormat="false" ht="26.25" hidden="false" customHeight="true" outlineLevel="0" collapsed="false">
      <c r="A11" s="9" t="s">
        <v>47</v>
      </c>
      <c r="B11" s="15" t="n">
        <v>1491.31</v>
      </c>
      <c r="C11" s="15" t="n">
        <v>166.15</v>
      </c>
      <c r="D11" s="15" t="n">
        <v>34.99</v>
      </c>
      <c r="E11" s="16" t="n">
        <f aca="false">AVERAGE(B11:D11)</f>
        <v>564.15</v>
      </c>
      <c r="F11" s="11" t="n">
        <f aca="false">E11/$E$8</f>
        <v>935.055248618784</v>
      </c>
      <c r="G11" s="12" t="n">
        <v>6581</v>
      </c>
      <c r="H11" s="13" t="s">
        <v>46</v>
      </c>
      <c r="I11" s="9" t="s">
        <v>48</v>
      </c>
    </row>
    <row r="12" customFormat="false" ht="26.25" hidden="false" customHeight="true" outlineLevel="0" collapsed="false">
      <c r="A12" s="9" t="s">
        <v>49</v>
      </c>
      <c r="B12" s="15" t="n">
        <v>59.42</v>
      </c>
      <c r="C12" s="15" t="n">
        <v>46.73</v>
      </c>
      <c r="D12" s="15" t="n">
        <v>29.63</v>
      </c>
      <c r="E12" s="16" t="n">
        <f aca="false">AVERAGE(B12:D12)</f>
        <v>45.26</v>
      </c>
      <c r="F12" s="11" t="n">
        <f aca="false">E12/$E$8</f>
        <v>75.0165745856354</v>
      </c>
      <c r="G12" s="12" t="n">
        <v>5955</v>
      </c>
      <c r="H12" s="13" t="s">
        <v>46</v>
      </c>
      <c r="I12" s="9" t="s">
        <v>50</v>
      </c>
    </row>
    <row r="14" customFormat="false" ht="15" hidden="false" customHeight="true" outlineLevel="0" collapsed="false">
      <c r="A14" s="3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4"/>
    <col collapsed="false" customWidth="true" hidden="false" outlineLevel="0" max="5" min="5" style="1" width="18"/>
    <col collapsed="false" customWidth="true" hidden="false" outlineLevel="0" max="6" min="6" style="1" width="16"/>
  </cols>
  <sheetData>
    <row r="1" customFormat="false" ht="15.75" hidden="false" customHeight="true" outlineLevel="0" collapsed="false">
      <c r="A1" s="2" t="s">
        <v>52</v>
      </c>
    </row>
    <row r="2" customFormat="false" ht="15" hidden="false" customHeight="true" outlineLevel="0" collapsed="false">
      <c r="A2" s="3" t="s">
        <v>1</v>
      </c>
    </row>
    <row r="4" customFormat="false" ht="39" hidden="false" customHeight="true" outlineLevel="0" collapsed="false">
      <c r="A4" s="4" t="s">
        <v>53</v>
      </c>
      <c r="B4" s="4" t="s">
        <v>54</v>
      </c>
      <c r="C4" s="4" t="s">
        <v>55</v>
      </c>
      <c r="D4" s="4" t="s">
        <v>56</v>
      </c>
      <c r="E4" s="4" t="s">
        <v>57</v>
      </c>
      <c r="F4" s="4" t="s">
        <v>58</v>
      </c>
    </row>
    <row r="5" customFormat="false" ht="15" hidden="false" customHeight="true" outlineLevel="0" collapsed="false">
      <c r="A5" s="9" t="s">
        <v>59</v>
      </c>
      <c r="B5" s="15" t="n">
        <v>1491.31</v>
      </c>
      <c r="C5" s="15" t="n">
        <v>59.42</v>
      </c>
      <c r="D5" s="19" t="n">
        <f aca="false">(B5-C5)/B5</f>
        <v>0.960155836144061</v>
      </c>
      <c r="E5" s="20" t="n">
        <v>8.75</v>
      </c>
      <c r="F5" s="21" t="n">
        <f aca="false">C5/E5</f>
        <v>6.79085714285714</v>
      </c>
    </row>
    <row r="6" customFormat="false" ht="15" hidden="false" customHeight="true" outlineLevel="0" collapsed="false">
      <c r="A6" s="9" t="s">
        <v>60</v>
      </c>
      <c r="B6" s="15" t="n">
        <v>166.15</v>
      </c>
      <c r="C6" s="15" t="n">
        <v>46.73</v>
      </c>
      <c r="D6" s="19" t="n">
        <f aca="false">(B6-C6)/B6</f>
        <v>0.718748119169425</v>
      </c>
      <c r="E6" s="20" t="n">
        <v>4.62</v>
      </c>
      <c r="F6" s="21" t="n">
        <f aca="false">C6/E6</f>
        <v>10.1147186147186</v>
      </c>
    </row>
    <row r="7" customFormat="false" ht="15" hidden="false" customHeight="true" outlineLevel="0" collapsed="false">
      <c r="A7" s="9" t="s">
        <v>42</v>
      </c>
      <c r="B7" s="15" t="n">
        <v>34.99</v>
      </c>
      <c r="C7" s="15" t="n">
        <v>29.63</v>
      </c>
      <c r="D7" s="19" t="n">
        <f aca="false">(B7-C7)/B7</f>
        <v>0.153186624749929</v>
      </c>
      <c r="E7" s="20" t="n">
        <v>3.73</v>
      </c>
      <c r="F7" s="21" t="n">
        <f aca="false">C7/E7</f>
        <v>7.94369973190349</v>
      </c>
    </row>
    <row r="9" customFormat="false" ht="15" hidden="false" customHeight="true" outlineLevel="0" collapsed="false">
      <c r="A9" s="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10"/>
  </cols>
  <sheetData>
    <row r="1" customFormat="false" ht="15.75" hidden="false" customHeight="true" outlineLevel="0" collapsed="false">
      <c r="A1" s="2" t="s">
        <v>62</v>
      </c>
    </row>
    <row r="2" customFormat="false" ht="15" hidden="false" customHeight="true" outlineLevel="0" collapsed="false">
      <c r="A2" s="3" t="s">
        <v>63</v>
      </c>
    </row>
    <row r="4" customFormat="false" ht="15" hidden="false" customHeight="true" outlineLevel="0" collapsed="false">
      <c r="A4" s="4" t="s">
        <v>64</v>
      </c>
      <c r="B4" s="4" t="s">
        <v>65</v>
      </c>
    </row>
    <row r="5" customFormat="false" ht="26.25" hidden="false" customHeight="true" outlineLevel="0" collapsed="false">
      <c r="A5" s="22" t="n">
        <v>1</v>
      </c>
      <c r="B5" s="9" t="s">
        <v>66</v>
      </c>
    </row>
    <row r="6" customFormat="false" ht="26.25" hidden="false" customHeight="true" outlineLevel="0" collapsed="false">
      <c r="A6" s="22" t="n">
        <v>2</v>
      </c>
      <c r="B6" s="9" t="s">
        <v>67</v>
      </c>
    </row>
    <row r="7" customFormat="false" ht="15" hidden="false" customHeight="true" outlineLevel="0" collapsed="false">
      <c r="A7" s="22" t="n">
        <v>3</v>
      </c>
      <c r="B7" s="9" t="s">
        <v>68</v>
      </c>
    </row>
    <row r="8" customFormat="false" ht="15" hidden="false" customHeight="true" outlineLevel="0" collapsed="false">
      <c r="A8" s="22" t="n">
        <v>4</v>
      </c>
      <c r="B8" s="9" t="s">
        <v>69</v>
      </c>
    </row>
    <row r="9" customFormat="false" ht="26.25" hidden="false" customHeight="true" outlineLevel="0" collapsed="false">
      <c r="A9" s="22" t="n">
        <v>5</v>
      </c>
      <c r="B9" s="9" t="s">
        <v>70</v>
      </c>
    </row>
    <row r="10" customFormat="false" ht="15" hidden="false" customHeight="true" outlineLevel="0" collapsed="false">
      <c r="A10" s="22" t="n">
        <v>6</v>
      </c>
      <c r="B10" s="9" t="s">
        <v>71</v>
      </c>
    </row>
    <row r="11" customFormat="false" ht="26.25" hidden="false" customHeight="true" outlineLevel="0" collapsed="false">
      <c r="A11" s="22" t="n">
        <v>7</v>
      </c>
      <c r="B11" s="9" t="s">
        <v>72</v>
      </c>
    </row>
    <row r="12" customFormat="false" ht="26.25" hidden="false" customHeight="true" outlineLevel="0" collapsed="false">
      <c r="A12" s="22" t="n">
        <v>8</v>
      </c>
      <c r="B12" s="9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2026-10-19T10:13:12Z</dcterms:created>
  <dc:creator>openpyxl</dc:creator>
  <dc:description/>
  <dc:language>en-US</dc:language>
  <cp:lastModifiedBy/>
  <dcterms:modified xsi:type="dcterms:W3CDTF">2026-10-19T10:13:24Z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